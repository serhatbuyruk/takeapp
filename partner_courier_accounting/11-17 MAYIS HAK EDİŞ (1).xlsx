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serha\Downloads\"/>
    </mc:Choice>
  </mc:AlternateContent>
  <xr:revisionPtr revIDLastSave="0" documentId="13_ncr:1_{6D857F11-5EB5-462B-ACF2-25E476DE6526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AN3" i="1"/>
  <c r="AF4" i="1"/>
  <c r="U4" i="1"/>
  <c r="V4" i="1" s="1"/>
  <c r="W4" i="1" s="1"/>
  <c r="AF3" i="1"/>
  <c r="U3" i="1"/>
  <c r="AI4" i="1" l="1"/>
  <c r="AN4" i="1" s="1"/>
  <c r="W3" i="1"/>
</calcChain>
</file>

<file path=xl/sharedStrings.xml><?xml version="1.0" encoding="utf-8"?>
<sst xmlns="http://schemas.openxmlformats.org/spreadsheetml/2006/main" count="98" uniqueCount="89">
  <si>
    <t>KURYE ID</t>
  </si>
  <si>
    <t>KURYE NAME</t>
  </si>
  <si>
    <t>Bölge</t>
  </si>
  <si>
    <t>Şehir</t>
  </si>
  <si>
    <t>Pick up</t>
  </si>
  <si>
    <t>Drop off</t>
  </si>
  <si>
    <t>Google Distance Pick Up</t>
  </si>
  <si>
    <t>Google Distance Drop Off</t>
  </si>
  <si>
    <t>Pick up Tutar</t>
  </si>
  <si>
    <t>Drop off Tutar</t>
  </si>
  <si>
    <t>Kilometre Başı Mesafe Tutarı</t>
  </si>
  <si>
    <t>Garanti Bölge Tutarı</t>
  </si>
  <si>
    <t>Gece Mesaisi Tutarı</t>
  </si>
  <si>
    <t>Bölge Kampanya Tutarı</t>
  </si>
  <si>
    <t>Haftalık Ek Paket Tutarı</t>
  </si>
  <si>
    <t>Günlük Bonus</t>
  </si>
  <si>
    <t>Bahşiş Tutar (KDV Dahil)</t>
  </si>
  <si>
    <t>Bahşiş Tutar (KDV Hariç)</t>
  </si>
  <si>
    <t>Hak Ediş Tutarı (KDV Hariç)</t>
  </si>
  <si>
    <t>Toplam Ödeme (KDV Hariç)</t>
  </si>
  <si>
    <t>Kuryetec Bonus'u (KDV Hariç)</t>
  </si>
  <si>
    <t>Bonus Dahil Toplam Ödeme (KDV Hariç)</t>
  </si>
  <si>
    <t>Bonus Dahil Hak Ediş (KDV Dahil)</t>
  </si>
  <si>
    <t>Cash Kesinti Tutarı (KDV Dahil)</t>
  </si>
  <si>
    <t>SoftPos Kesinti Tutarı (KDV Dahil)</t>
  </si>
  <si>
    <t>Sigorta Kesintisi</t>
  </si>
  <si>
    <t>Saha Kesintisi (Sipariş)</t>
  </si>
  <si>
    <t>İXOPAY (Nakit Yatırılan Tutar)</t>
  </si>
  <si>
    <t>Son Kesinti (Yemek Sepeti)</t>
  </si>
  <si>
    <t>04-10 Mayıs Eksi Bakiye</t>
  </si>
  <si>
    <t>Ekipman Alımı</t>
  </si>
  <si>
    <t>Toplam Kesinti</t>
  </si>
  <si>
    <t>27 Nisan - 3 Mayıs Ödemesinden Düşülen</t>
  </si>
  <si>
    <t>04-10 Mayıs Ödemesinden Düşülen</t>
  </si>
  <si>
    <t>Tevkifat Vergisi Tutarı</t>
  </si>
  <si>
    <t>Avans</t>
  </si>
  <si>
    <t>Yatırılan Ödeme</t>
  </si>
  <si>
    <t>İSG Ödeme</t>
  </si>
  <si>
    <t>Sigorta</t>
  </si>
  <si>
    <t>Toplam Ödenecek Net Tutar (Kesintiler Düşürülmüştür)</t>
  </si>
  <si>
    <t>Fatura Tipi</t>
  </si>
  <si>
    <t>NOT</t>
  </si>
  <si>
    <t>Yönetici</t>
  </si>
  <si>
    <t xml:space="preserve">  Ahmet İmer</t>
  </si>
  <si>
    <t>Samsun</t>
  </si>
  <si>
    <t>Samsun od</t>
  </si>
  <si>
    <t>SİGORTALI</t>
  </si>
  <si>
    <t>Murat Şenoğlu</t>
  </si>
  <si>
    <t xml:space="preserve"> İbrahim Ergül</t>
  </si>
  <si>
    <t>Konyaalti</t>
  </si>
  <si>
    <t>Antalya od</t>
  </si>
  <si>
    <t>E FATURA</t>
  </si>
  <si>
    <t>Yönetim</t>
  </si>
  <si>
    <t>Kurye Kullanıcı Kimlik Numarası</t>
  </si>
  <si>
    <t>Kurye İsim Soyisim</t>
  </si>
  <si>
    <t xml:space="preserve"> Çalıştığı İlçe</t>
  </si>
  <si>
    <t>Çalıştığı İl</t>
  </si>
  <si>
    <t>Haftalık Tekli Paket Sayısı</t>
  </si>
  <si>
    <t>Haftalık Çoklu Paket Sayısı</t>
  </si>
  <si>
    <t>Haftalık Atılan Tekli Paketlerin Mesafe Tutarı</t>
  </si>
  <si>
    <t>Haftalık Atılan Çoklu Paketlerin Mesafe Tutarı</t>
  </si>
  <si>
    <t>Haftalık Tekli Paket Tutarı</t>
  </si>
  <si>
    <t>Haftalık Çoklu Paket Tutarı</t>
  </si>
  <si>
    <t xml:space="preserve">Haftalık Atılan Tekli ve Çoklu Paketlerin Mesafe Tutarı Toplamı </t>
  </si>
  <si>
    <t>Bonus Tutarları</t>
  </si>
  <si>
    <t>Haftalık Bonus</t>
  </si>
  <si>
    <t xml:space="preserve">Günlük Bonus </t>
  </si>
  <si>
    <t>Haftalık Bahşiş (KDV Dahil)</t>
  </si>
  <si>
    <t>Haftalık Bahşiş (KDV Hariç)</t>
  </si>
  <si>
    <t xml:space="preserve">Haftalık Kazanç </t>
  </si>
  <si>
    <t>Haftalık Kazanç  + Bahşiş (KDV Hariç)</t>
  </si>
  <si>
    <t>Haftalık Kazanç + Kuryetec Bonusu (KDV Hariç)</t>
  </si>
  <si>
    <t>Haftalık Kazanç + Kuryetec Bonusu (KDV Dahil)</t>
  </si>
  <si>
    <t>Elden Alınan Nakit Siparişler (KDV Dahil)</t>
  </si>
  <si>
    <t>Yemeksepeti Zorunlu Sağlık Sigortası Kesintisi</t>
  </si>
  <si>
    <t>Kurye Kaynaklı Hatalı Sipariş Kesinleri</t>
  </si>
  <si>
    <t>Nakit Yatırılan Tutar</t>
  </si>
  <si>
    <t>Elden Alınan Nakit Siparişler + Sigorta Kesintisi + Saha Kesintisi - Nakit Yatırılan Tutar Hesaplaması</t>
  </si>
  <si>
    <t>Bir Önceki Hakedişten Devreden Eksi Bakiye</t>
  </si>
  <si>
    <t>Son Kesinti + Devreden Eksi Bakiye + Ekipman Alımı Toplamı</t>
  </si>
  <si>
    <t>Mevcut Bakiyeden Düşürülen Tutar</t>
  </si>
  <si>
    <t xml:space="preserve">İş Sağlığı ve Güvenliği </t>
  </si>
  <si>
    <t>SGK Kesintisi</t>
  </si>
  <si>
    <t>Yöneticisi</t>
  </si>
  <si>
    <t>Kesintiler Düşürüldükten Sonra Net Ödenecek Tutar</t>
  </si>
  <si>
    <t>Nakite Çevirilen  Siparişler (KDV Dahil)</t>
  </si>
  <si>
    <t>Bu yatırılan</t>
  </si>
  <si>
    <t>Buradan sonrasını biz yapıyoruz öncesi yemek sepeti</t>
  </si>
  <si>
    <t>Fatura kesen kuryelerde faturalıysa ve fatura 9900 üstündeyse faturanın kdv rakamının %5'i oluyor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</si>
</sst>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44" formatCode="_-&quot;₺&quot;* #,##0.00_-;\-&quot;₺&quot;* #,##0.00_-;_-&quot;₺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4" fontId="2" fillId="2" borderId="1" xfId="1" applyFont="1" applyFill="1" applyBorder="1" applyAlignment="1">
      <alignment horizontal="center" vertical="center" wrapText="1"/>
    </xf>
    <xf numFmtId="44" fontId="2" fillId="3" borderId="1" xfId="1" applyFont="1" applyFill="1" applyBorder="1" applyAlignment="1">
      <alignment horizontal="center" vertical="center" wrapText="1"/>
    </xf>
    <xf numFmtId="0" fontId="0" fillId="0" borderId="2" xfId="0" applyBorder="1"/>
    <xf numFmtId="44" fontId="0" fillId="0" borderId="2" xfId="1" applyFont="1" applyBorder="1"/>
    <xf numFmtId="8" fontId="0" fillId="0" borderId="0" xfId="0" applyNumberFormat="1"/>
    <xf numFmtId="44" fontId="2" fillId="0" borderId="2" xfId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2">
    <cellStyle name="Normal" xfId="0" builtinId="0"/>
    <cellStyle name="ParaBirimi" xfId="1" builtinId="4"/>
  </cellStyles>
  <dxfs count="4"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"/>
  <sheetViews>
    <sheetView tabSelected="1" topLeftCell="AE1" zoomScale="149" zoomScaleNormal="149" workbookViewId="0">
      <selection activeCell="AJ9" sqref="AJ9"/>
    </sheetView>
  </sheetViews>
  <sheetFormatPr defaultColWidth="18.5546875" defaultRowHeight="14.4" x14ac:dyDescent="0.3"/>
  <cols>
    <col min="1" max="1" width="29.109375" bestFit="1" customWidth="1"/>
    <col min="2" max="2" width="17.88671875" bestFit="1" customWidth="1"/>
    <col min="3" max="3" width="11.5546875" bestFit="1" customWidth="1"/>
    <col min="4" max="4" width="10.5546875" bestFit="1" customWidth="1"/>
    <col min="5" max="5" width="23.44140625" bestFit="1" customWidth="1"/>
    <col min="6" max="6" width="24.109375" bestFit="1" customWidth="1"/>
    <col min="7" max="7" width="19.33203125" bestFit="1" customWidth="1"/>
    <col min="8" max="8" width="20" bestFit="1" customWidth="1"/>
    <col min="9" max="9" width="11.6640625" bestFit="1" customWidth="1"/>
    <col min="10" max="10" width="12.33203125" bestFit="1" customWidth="1"/>
    <col min="11" max="11" width="15.88671875" bestFit="1" customWidth="1"/>
    <col min="12" max="12" width="17" bestFit="1" customWidth="1"/>
    <col min="13" max="13" width="17.33203125" bestFit="1" customWidth="1"/>
    <col min="14" max="15" width="14.88671875" bestFit="1" customWidth="1"/>
    <col min="16" max="16" width="12.44140625" bestFit="1" customWidth="1"/>
    <col min="17" max="18" width="16" bestFit="1" customWidth="1"/>
    <col min="19" max="19" width="17.88671875" bestFit="1" customWidth="1"/>
    <col min="20" max="20" width="18.33203125" bestFit="1" customWidth="1"/>
    <col min="21" max="21" width="15.88671875" bestFit="1" customWidth="1"/>
    <col min="22" max="22" width="17.5546875" bestFit="1" customWidth="1"/>
    <col min="23" max="23" width="18.33203125" bestFit="1" customWidth="1"/>
    <col min="24" max="24" width="16.88671875" bestFit="1" customWidth="1"/>
    <col min="25" max="25" width="14.5546875" bestFit="1" customWidth="1"/>
    <col min="26" max="26" width="14.44140625" bestFit="1" customWidth="1"/>
    <col min="27" max="27" width="12.88671875" bestFit="1" customWidth="1"/>
    <col min="28" max="28" width="12.44140625" bestFit="1" customWidth="1"/>
    <col min="29" max="29" width="24" bestFit="1" customWidth="1"/>
    <col min="30" max="30" width="14.6640625" bestFit="1" customWidth="1"/>
    <col min="31" max="31" width="12.5546875" bestFit="1" customWidth="1"/>
    <col min="32" max="32" width="15.109375" bestFit="1" customWidth="1"/>
    <col min="33" max="33" width="15.6640625" bestFit="1" customWidth="1"/>
    <col min="34" max="34" width="12.5546875" bestFit="1" customWidth="1"/>
    <col min="35" max="35" width="14.44140625" bestFit="1" customWidth="1"/>
    <col min="36" max="36" width="6.33203125" bestFit="1" customWidth="1"/>
    <col min="37" max="37" width="14" bestFit="1" customWidth="1"/>
    <col min="38" max="38" width="10.109375" bestFit="1" customWidth="1"/>
    <col min="39" max="39" width="10.6640625" bestFit="1" customWidth="1"/>
    <col min="40" max="40" width="24.109375" bestFit="1" customWidth="1"/>
    <col min="41" max="41" width="11.5546875" bestFit="1" customWidth="1"/>
    <col min="42" max="42" width="4.5546875" bestFit="1" customWidth="1"/>
    <col min="43" max="43" width="15.44140625" bestFit="1" customWidth="1"/>
  </cols>
  <sheetData>
    <row r="1" spans="1:43" ht="5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3" t="s">
        <v>42</v>
      </c>
    </row>
    <row r="2" spans="1:43" ht="50.25" customHeight="1" x14ac:dyDescent="0.3">
      <c r="A2" s="9" t="s">
        <v>53</v>
      </c>
      <c r="B2" s="8" t="s">
        <v>54</v>
      </c>
      <c r="C2" s="8" t="s">
        <v>55</v>
      </c>
      <c r="D2" s="8" t="s">
        <v>56</v>
      </c>
      <c r="E2" s="8" t="s">
        <v>57</v>
      </c>
      <c r="F2" s="8" t="s">
        <v>58</v>
      </c>
      <c r="G2" s="7" t="s">
        <v>59</v>
      </c>
      <c r="H2" s="7" t="s">
        <v>60</v>
      </c>
      <c r="I2" s="7" t="s">
        <v>61</v>
      </c>
      <c r="J2" s="7" t="s">
        <v>62</v>
      </c>
      <c r="K2" s="7" t="s">
        <v>63</v>
      </c>
      <c r="L2" s="7" t="s">
        <v>64</v>
      </c>
      <c r="M2" s="7" t="s">
        <v>12</v>
      </c>
      <c r="N2" s="7" t="s">
        <v>64</v>
      </c>
      <c r="O2" s="7" t="s">
        <v>65</v>
      </c>
      <c r="P2" s="7" t="s">
        <v>66</v>
      </c>
      <c r="Q2" s="7" t="s">
        <v>67</v>
      </c>
      <c r="R2" s="7" t="s">
        <v>68</v>
      </c>
      <c r="S2" s="7" t="s">
        <v>69</v>
      </c>
      <c r="T2" s="7" t="s">
        <v>70</v>
      </c>
      <c r="U2" s="7" t="s">
        <v>20</v>
      </c>
      <c r="V2" s="7" t="s">
        <v>71</v>
      </c>
      <c r="W2" s="7" t="s">
        <v>72</v>
      </c>
      <c r="X2" s="7" t="s">
        <v>73</v>
      </c>
      <c r="Y2" s="7" t="s">
        <v>85</v>
      </c>
      <c r="Z2" s="7" t="s">
        <v>74</v>
      </c>
      <c r="AA2" s="7" t="s">
        <v>75</v>
      </c>
      <c r="AB2" s="7" t="s">
        <v>76</v>
      </c>
      <c r="AC2" s="7" t="s">
        <v>77</v>
      </c>
      <c r="AD2" s="7" t="s">
        <v>78</v>
      </c>
      <c r="AE2" s="7" t="s">
        <v>30</v>
      </c>
      <c r="AF2" s="7" t="s">
        <v>79</v>
      </c>
      <c r="AG2" s="7" t="s">
        <v>80</v>
      </c>
      <c r="AH2" s="7" t="s">
        <v>80</v>
      </c>
      <c r="AI2" s="7" t="s">
        <v>34</v>
      </c>
      <c r="AJ2" s="7" t="s">
        <v>35</v>
      </c>
      <c r="AK2" s="7" t="s">
        <v>36</v>
      </c>
      <c r="AL2" s="7" t="s">
        <v>81</v>
      </c>
      <c r="AM2" s="7" t="s">
        <v>82</v>
      </c>
      <c r="AN2" s="7" t="s">
        <v>84</v>
      </c>
      <c r="AO2" s="7" t="s">
        <v>40</v>
      </c>
      <c r="AP2" s="7"/>
      <c r="AQ2" s="7" t="s">
        <v>83</v>
      </c>
    </row>
    <row r="3" spans="1:43" x14ac:dyDescent="0.3">
      <c r="A3" s="4">
        <v>1719534</v>
      </c>
      <c r="B3" s="4" t="s">
        <v>43</v>
      </c>
      <c r="C3" s="4" t="s">
        <v>44</v>
      </c>
      <c r="D3" s="4" t="s">
        <v>45</v>
      </c>
      <c r="E3" s="4">
        <v>120</v>
      </c>
      <c r="F3" s="4">
        <v>170</v>
      </c>
      <c r="G3" s="5">
        <v>1050.1300000000001</v>
      </c>
      <c r="H3" s="5">
        <v>2653.66</v>
      </c>
      <c r="I3" s="5">
        <v>3958.91</v>
      </c>
      <c r="J3" s="5">
        <v>6114.77</v>
      </c>
      <c r="K3" s="5">
        <v>3703.79</v>
      </c>
      <c r="L3" s="5">
        <v>0</v>
      </c>
      <c r="M3" s="5">
        <v>0</v>
      </c>
      <c r="N3" s="5">
        <v>0</v>
      </c>
      <c r="O3" s="5">
        <v>937.5</v>
      </c>
      <c r="P3" s="5">
        <v>0</v>
      </c>
      <c r="Q3" s="5">
        <v>50</v>
      </c>
      <c r="R3" s="5">
        <v>41.666666666666671</v>
      </c>
      <c r="S3" s="5">
        <v>14714.970000000001</v>
      </c>
      <c r="T3" s="5">
        <v>14756.636666666667</v>
      </c>
      <c r="U3" s="5">
        <f>IF(AND(F3&gt;=100,F3&lt;150),208.33,IF(AND(F3&gt;=150,F3&lt;200),333.33,IF(AND(F3&gt;=200,F3&gt;=200,F3&lt;250),500,IF(AND(F3&gt;=250),833.33,0))))</f>
        <v>333.33</v>
      </c>
      <c r="V3" s="5">
        <f>T3+U3</f>
        <v>15089.966666666667</v>
      </c>
      <c r="W3" s="5">
        <f>V3*1.2</f>
        <v>18107.96</v>
      </c>
      <c r="X3" s="5">
        <v>10422.009999999998</v>
      </c>
      <c r="Y3" s="5">
        <v>0</v>
      </c>
      <c r="Z3" s="5">
        <v>96.04</v>
      </c>
      <c r="AA3" s="5">
        <v>0</v>
      </c>
      <c r="AB3" s="5">
        <v>11200</v>
      </c>
      <c r="AC3" s="5">
        <v>-681.95000000000073</v>
      </c>
      <c r="AD3" s="5">
        <v>0</v>
      </c>
      <c r="AE3" s="5">
        <v>0</v>
      </c>
      <c r="AF3" s="5">
        <f>AC3+AD3+AE3</f>
        <v>-681.95000000000073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600</v>
      </c>
      <c r="AM3" s="5">
        <v>1187.5</v>
      </c>
      <c r="AN3" s="5">
        <f>V3-AF3-AG3-AH3-AI3-AJ3+AK3-AL3-AM3</f>
        <v>13984.416666666668</v>
      </c>
      <c r="AO3" s="5" t="s">
        <v>46</v>
      </c>
      <c r="AP3" s="5"/>
      <c r="AQ3" s="5" t="s">
        <v>47</v>
      </c>
    </row>
    <row r="4" spans="1:43" x14ac:dyDescent="0.3">
      <c r="A4" s="4">
        <v>1580971</v>
      </c>
      <c r="B4" s="4" t="s">
        <v>48</v>
      </c>
      <c r="C4" s="4" t="s">
        <v>49</v>
      </c>
      <c r="D4" s="4" t="s">
        <v>50</v>
      </c>
      <c r="E4" s="4">
        <v>133</v>
      </c>
      <c r="F4" s="4">
        <v>167</v>
      </c>
      <c r="G4" s="5">
        <v>1146.97</v>
      </c>
      <c r="H4" s="5">
        <v>2951.7000000000003</v>
      </c>
      <c r="I4" s="5">
        <v>4166.2999999999993</v>
      </c>
      <c r="J4" s="5">
        <v>7032.7199999999993</v>
      </c>
      <c r="K4" s="5">
        <v>4098.67</v>
      </c>
      <c r="L4" s="5">
        <v>0</v>
      </c>
      <c r="M4" s="5">
        <v>0</v>
      </c>
      <c r="N4" s="5">
        <v>0</v>
      </c>
      <c r="O4" s="5">
        <v>937.5</v>
      </c>
      <c r="P4" s="5">
        <v>0</v>
      </c>
      <c r="Q4" s="5">
        <v>210</v>
      </c>
      <c r="R4" s="5">
        <v>175</v>
      </c>
      <c r="S4" s="5">
        <v>16235.189999999999</v>
      </c>
      <c r="T4" s="5">
        <v>16410.189999999999</v>
      </c>
      <c r="U4" s="5">
        <f t="shared" ref="U4" si="0">IF(AND(F4&gt;=100,F4&lt;150),208.33,IF(AND(F4&gt;=150,F4&lt;200),333.33,IF(AND(F4&gt;=200,F4&gt;=200,F4&lt;250),500,IF(AND(F4&gt;=250),833.33,0))))</f>
        <v>333.33</v>
      </c>
      <c r="V4" s="5">
        <f t="shared" ref="V4" si="1">T4+U4</f>
        <v>16743.52</v>
      </c>
      <c r="W4" s="5">
        <f t="shared" ref="W4" si="2">V4*1.2</f>
        <v>20092.223999999998</v>
      </c>
      <c r="X4" s="5">
        <v>12478.759999999997</v>
      </c>
      <c r="Y4" s="5">
        <v>2611.16</v>
      </c>
      <c r="Z4" s="5">
        <v>96.04</v>
      </c>
      <c r="AA4" s="5">
        <v>0</v>
      </c>
      <c r="AB4" s="5">
        <v>15100</v>
      </c>
      <c r="AC4" s="5">
        <v>85.959999999997308</v>
      </c>
      <c r="AD4" s="5">
        <v>0</v>
      </c>
      <c r="AE4" s="5">
        <v>0</v>
      </c>
      <c r="AF4" s="5">
        <f t="shared" ref="AF4" si="3">AC4+AD4+AE4</f>
        <v>85.959999999997308</v>
      </c>
      <c r="AG4" s="5">
        <v>0</v>
      </c>
      <c r="AH4" s="5">
        <v>0</v>
      </c>
      <c r="AI4" s="5">
        <f>IF(W4&gt;12000,(W4-V4)*0.2,0)</f>
        <v>669.74079999999958</v>
      </c>
      <c r="AJ4" s="5">
        <v>0</v>
      </c>
      <c r="AK4" s="5">
        <v>0</v>
      </c>
      <c r="AL4" s="5">
        <v>0</v>
      </c>
      <c r="AM4" s="5">
        <v>0</v>
      </c>
      <c r="AN4" s="5">
        <f>W4-AF4-AG4-AH4-AI4-AJ4+AK4-AL4-AM4</f>
        <v>19336.523200000003</v>
      </c>
      <c r="AO4" s="5" t="s">
        <v>51</v>
      </c>
      <c r="AP4" s="5"/>
      <c r="AQ4" s="5" t="s">
        <v>52</v>
      </c>
    </row>
    <row r="5" spans="1:43" x14ac:dyDescent="0.3">
      <c r="AB5" t="s">
        <v>86</v>
      </c>
      <c r="AI5" t="s">
        <v>88</v>
      </c>
    </row>
    <row r="6" spans="1:43" x14ac:dyDescent="0.3">
      <c r="AF6" s="6"/>
      <c r="AG6" s="6"/>
      <c r="AH6" s="6"/>
    </row>
    <row r="7" spans="1:43" x14ac:dyDescent="0.3">
      <c r="AC7" t="s">
        <v>87</v>
      </c>
      <c r="AF7" s="6"/>
      <c r="AG7" s="6"/>
      <c r="AH7" s="6"/>
    </row>
  </sheetData>
  <conditionalFormatting sqref="A1">
    <cfRule type="duplicateValues" dxfId="3" priority="4"/>
  </conditionalFormatting>
  <conditionalFormatting sqref="A1:AQ1 G2:AQ2">
    <cfRule type="cellIs" dxfId="2" priority="1" operator="lessThan">
      <formula>0</formula>
    </cfRule>
    <cfRule type="expression" dxfId="1" priority="2">
      <formula>$A1&lt;&gt;""</formula>
    </cfRule>
  </conditionalFormatting>
  <conditionalFormatting sqref="B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d50708</cp:lastModifiedBy>
  <dcterms:created xsi:type="dcterms:W3CDTF">2015-06-05T18:19:34Z</dcterms:created>
  <dcterms:modified xsi:type="dcterms:W3CDTF">2026-06-05T08:46:57Z</dcterms:modified>
</cp:coreProperties>
</file>